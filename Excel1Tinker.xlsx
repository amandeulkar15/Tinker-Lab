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wnloads\"/>
    </mc:Choice>
  </mc:AlternateContent>
  <bookViews>
    <workbookView xWindow="0" yWindow="0" windowWidth="28800" windowHeight="1221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1" i="1"/>
  <c r="K2" i="1"/>
  <c r="H12" i="1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K19" i="1" s="1"/>
  <c r="J20" i="1"/>
  <c r="J21" i="1"/>
  <c r="H3" i="1"/>
  <c r="H4" i="1"/>
  <c r="H5" i="1"/>
  <c r="H6" i="1"/>
  <c r="H7" i="1"/>
  <c r="H8" i="1"/>
  <c r="H9" i="1"/>
  <c r="H10" i="1"/>
  <c r="H11" i="1"/>
  <c r="H13" i="1"/>
  <c r="H14" i="1"/>
  <c r="H15" i="1"/>
  <c r="H16" i="1"/>
  <c r="H17" i="1"/>
  <c r="H18" i="1"/>
  <c r="H19" i="1"/>
  <c r="H20" i="1"/>
  <c r="H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K20" i="1" s="1"/>
  <c r="I21" i="1"/>
  <c r="I2" i="1"/>
  <c r="H2" i="1"/>
</calcChain>
</file>

<file path=xl/sharedStrings.xml><?xml version="1.0" encoding="utf-8"?>
<sst xmlns="http://schemas.openxmlformats.org/spreadsheetml/2006/main" count="57" uniqueCount="36">
  <si>
    <t>Sr. No.</t>
  </si>
  <si>
    <t>Name</t>
  </si>
  <si>
    <t>Gender</t>
  </si>
  <si>
    <t>Marks in English</t>
  </si>
  <si>
    <t>Marks in Maths</t>
  </si>
  <si>
    <t>Marks in Science</t>
  </si>
  <si>
    <t>Marks in CS</t>
  </si>
  <si>
    <t>Aman</t>
  </si>
  <si>
    <t>M</t>
  </si>
  <si>
    <t>Shrijit</t>
  </si>
  <si>
    <t>Sheela</t>
  </si>
  <si>
    <t>Nirmala</t>
  </si>
  <si>
    <t>Ayaan</t>
  </si>
  <si>
    <t>Shaurya</t>
  </si>
  <si>
    <t>Soumya</t>
  </si>
  <si>
    <t>Atharva</t>
  </si>
  <si>
    <t>Shree</t>
  </si>
  <si>
    <t>Om</t>
  </si>
  <si>
    <t>Yuvraj</t>
  </si>
  <si>
    <t>Yash</t>
  </si>
  <si>
    <t>Ayushi</t>
  </si>
  <si>
    <t>Jiya</t>
  </si>
  <si>
    <t>Anushree</t>
  </si>
  <si>
    <t>Sakshi</t>
  </si>
  <si>
    <t>Amanmeet</t>
  </si>
  <si>
    <t>Raj</t>
  </si>
  <si>
    <t>Aliza</t>
  </si>
  <si>
    <t>Avika</t>
  </si>
  <si>
    <t>F</t>
  </si>
  <si>
    <t>Total</t>
  </si>
  <si>
    <t>Percentage</t>
  </si>
  <si>
    <t>Result</t>
  </si>
  <si>
    <t>GRADE</t>
  </si>
  <si>
    <t>RANK</t>
  </si>
  <si>
    <t xml:space="preserve">  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</si>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</sst>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5" fillId="2" borderId="0" xfId="1" applyFont="1"/>
    <xf numFmtId="0" fontId="6" fillId="3" borderId="0" xfId="2" applyFont="1"/>
    <xf numFmtId="0" fontId="0" fillId="0" borderId="0" xfId="0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M15" sqref="M15"/>
    </sheetView>
  </sheetViews>
  <sheetFormatPr defaultRowHeight="15" x14ac:dyDescent="0.25"/>
  <cols>
    <col min="2" max="2" width="18.28515625" customWidth="1"/>
    <col min="4" max="4" width="18.140625" customWidth="1"/>
    <col min="5" max="7" width="18.28515625" customWidth="1"/>
    <col min="8" max="8" width="9.7109375" customWidth="1"/>
    <col min="9" max="9" width="11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29</v>
      </c>
      <c r="I1" s="2" t="s">
        <v>30</v>
      </c>
      <c r="J1" s="3" t="s">
        <v>31</v>
      </c>
      <c r="K1" s="7" t="s">
        <v>32</v>
      </c>
      <c r="L1" t="s">
        <v>33</v>
      </c>
    </row>
    <row r="2" spans="1:13" x14ac:dyDescent="0.25">
      <c r="A2" s="1">
        <v>1</v>
      </c>
      <c r="B2" t="s">
        <v>7</v>
      </c>
      <c r="C2" t="s">
        <v>8</v>
      </c>
      <c r="D2">
        <v>88</v>
      </c>
      <c r="E2">
        <v>99</v>
      </c>
      <c r="F2">
        <v>79</v>
      </c>
      <c r="G2">
        <v>94</v>
      </c>
      <c r="H2" s="4">
        <f>SUM(D2:G2)</f>
        <v>360</v>
      </c>
      <c r="I2" s="4">
        <f>AVERAGE(D1:E2:F2)</f>
        <v>88.666666666666671</v>
      </c>
      <c r="J2" s="5" t="str">
        <f>IF(AND(D2&gt;=50,E2&gt;=50,F2&gt;=50,G2&gt;=50),"PASS","FAIL")</f>
        <v>PASS</v>
      </c>
      <c r="K2" t="str">
        <f>IF(J2="FAIL", "", (IF( I2&gt;90, "A+", IF(I2&gt;80, "A", IF(I2&gt;70, "B+", IF(I2&gt;60, "B", "C+"))))))</f>
        <v>A</v>
      </c>
      <c r="L2">
        <f>IF(J2="FAIL", "", RANK(I2, $I$2:$I$21, 0))</f>
        <v>2</v>
      </c>
    </row>
    <row r="3" spans="1:13" x14ac:dyDescent="0.25">
      <c r="A3" s="1">
        <v>2</v>
      </c>
      <c r="B3" t="s">
        <v>10</v>
      </c>
      <c r="C3" t="s">
        <v>28</v>
      </c>
      <c r="D3">
        <v>87</v>
      </c>
      <c r="E3">
        <v>78</v>
      </c>
      <c r="F3">
        <v>91</v>
      </c>
      <c r="G3">
        <v>98</v>
      </c>
      <c r="H3" s="4">
        <f t="shared" ref="H3:H21" si="0">SUM(D3:G3)</f>
        <v>354</v>
      </c>
      <c r="I3" s="4">
        <f>AVERAGE(D2:E3:F3)</f>
        <v>87</v>
      </c>
      <c r="J3" s="5" t="str">
        <f>IF(AND(D3&gt;=50,E3&gt;=50,F3&gt;=50,G3&gt;=50),"PASS","FAIL")</f>
        <v>PASS</v>
      </c>
      <c r="K3" t="str">
        <f t="shared" ref="K3:K21" si="1">IF(J3="FAIL", "", (IF( I3&gt;90, "A+", IF(I3&gt;80, "A", IF(I3&gt;70, "B+", IF(I3&gt;60, "B", "C+"))))))</f>
        <v>A</v>
      </c>
      <c r="L3">
        <f t="shared" ref="L3:L21" si="2">IF(J3="FAIL", "", RANK(I3, $I$2:$I$21, 0))</f>
        <v>4</v>
      </c>
    </row>
    <row r="4" spans="1:13" x14ac:dyDescent="0.25">
      <c r="A4" s="1">
        <v>3</v>
      </c>
      <c r="B4" t="s">
        <v>11</v>
      </c>
      <c r="C4" t="s">
        <v>28</v>
      </c>
      <c r="D4">
        <v>78</v>
      </c>
      <c r="E4">
        <v>92</v>
      </c>
      <c r="F4">
        <v>87</v>
      </c>
      <c r="G4">
        <v>77</v>
      </c>
      <c r="H4" s="4">
        <f t="shared" si="0"/>
        <v>334</v>
      </c>
      <c r="I4" s="4">
        <f>AVERAGE(D3:E4:F4)</f>
        <v>85.5</v>
      </c>
      <c r="J4" s="5" t="str">
        <f t="shared" ref="J4:J21" si="3">IF(AND(D4&gt;=50,E4&gt;=50,F4&gt;=50,G4&gt;=50),"PASS","FAIL")</f>
        <v>PASS</v>
      </c>
      <c r="K4" t="str">
        <f t="shared" si="1"/>
        <v>A</v>
      </c>
      <c r="L4">
        <f t="shared" si="2"/>
        <v>6</v>
      </c>
    </row>
    <row r="5" spans="1:13" x14ac:dyDescent="0.25">
      <c r="A5" s="1">
        <v>4</v>
      </c>
      <c r="B5" t="s">
        <v>9</v>
      </c>
      <c r="C5" t="s">
        <v>8</v>
      </c>
      <c r="D5">
        <v>98</v>
      </c>
      <c r="E5">
        <v>99</v>
      </c>
      <c r="F5">
        <v>89</v>
      </c>
      <c r="G5">
        <v>76</v>
      </c>
      <c r="H5" s="4">
        <f t="shared" si="0"/>
        <v>362</v>
      </c>
      <c r="I5" s="4">
        <f>AVERAGE(D4:E5:F5)</f>
        <v>90.5</v>
      </c>
      <c r="J5" s="5" t="str">
        <f t="shared" si="3"/>
        <v>PASS</v>
      </c>
      <c r="K5" t="str">
        <f t="shared" si="1"/>
        <v>A+</v>
      </c>
      <c r="L5">
        <f t="shared" si="2"/>
        <v>1</v>
      </c>
    </row>
    <row r="6" spans="1:13" x14ac:dyDescent="0.25">
      <c r="A6" s="1">
        <v>5</v>
      </c>
      <c r="B6" t="s">
        <v>12</v>
      </c>
      <c r="C6" t="s">
        <v>8</v>
      </c>
      <c r="D6">
        <v>89</v>
      </c>
      <c r="E6">
        <v>78</v>
      </c>
      <c r="F6">
        <v>78</v>
      </c>
      <c r="G6">
        <v>67</v>
      </c>
      <c r="H6" s="4">
        <f t="shared" si="0"/>
        <v>312</v>
      </c>
      <c r="I6" s="4">
        <f>AVERAGE(D5:E6:F6)</f>
        <v>88.5</v>
      </c>
      <c r="J6" s="5" t="str">
        <f t="shared" si="3"/>
        <v>PASS</v>
      </c>
      <c r="K6" t="str">
        <f t="shared" si="1"/>
        <v>A</v>
      </c>
      <c r="L6">
        <f t="shared" si="2"/>
        <v>3</v>
      </c>
    </row>
    <row r="7" spans="1:13" x14ac:dyDescent="0.25">
      <c r="A7" s="1">
        <v>6</v>
      </c>
      <c r="B7" t="s">
        <v>13</v>
      </c>
      <c r="C7" t="s">
        <v>8</v>
      </c>
      <c r="D7">
        <v>78</v>
      </c>
      <c r="E7">
        <v>76</v>
      </c>
      <c r="F7">
        <v>88</v>
      </c>
      <c r="G7">
        <v>88</v>
      </c>
      <c r="H7" s="4">
        <f t="shared" si="0"/>
        <v>330</v>
      </c>
      <c r="I7" s="4">
        <f>AVERAGE(D6:E7:F7)</f>
        <v>81.166666666666671</v>
      </c>
      <c r="J7" s="5" t="str">
        <f t="shared" si="3"/>
        <v>PASS</v>
      </c>
      <c r="K7" t="str">
        <f t="shared" si="1"/>
        <v>A</v>
      </c>
      <c r="L7">
        <f t="shared" si="2"/>
        <v>12</v>
      </c>
    </row>
    <row r="8" spans="1:13" x14ac:dyDescent="0.25">
      <c r="A8" s="1">
        <v>7</v>
      </c>
      <c r="B8" t="s">
        <v>14</v>
      </c>
      <c r="C8" t="s">
        <v>28</v>
      </c>
      <c r="D8">
        <v>27</v>
      </c>
      <c r="E8">
        <v>75</v>
      </c>
      <c r="F8">
        <v>87</v>
      </c>
      <c r="G8">
        <v>98</v>
      </c>
      <c r="H8" s="4">
        <f t="shared" si="0"/>
        <v>287</v>
      </c>
      <c r="I8" s="4">
        <f>AVERAGE(D7:E8:F8)</f>
        <v>71.833333333333329</v>
      </c>
      <c r="J8" s="6" t="str">
        <f t="shared" si="3"/>
        <v>FAIL</v>
      </c>
      <c r="K8" t="str">
        <f t="shared" si="1"/>
        <v/>
      </c>
      <c r="L8" t="str">
        <f t="shared" si="2"/>
        <v/>
      </c>
    </row>
    <row r="9" spans="1:13" x14ac:dyDescent="0.25">
      <c r="A9" s="1">
        <v>8</v>
      </c>
      <c r="B9" t="s">
        <v>15</v>
      </c>
      <c r="C9" t="s">
        <v>8</v>
      </c>
      <c r="D9">
        <v>97</v>
      </c>
      <c r="E9">
        <v>89</v>
      </c>
      <c r="F9">
        <v>85</v>
      </c>
      <c r="G9">
        <v>45</v>
      </c>
      <c r="H9" s="4">
        <f t="shared" si="0"/>
        <v>316</v>
      </c>
      <c r="I9" s="4">
        <f>AVERAGE(D8:E9:F9)</f>
        <v>76.666666666666671</v>
      </c>
      <c r="J9" s="6" t="str">
        <f t="shared" si="3"/>
        <v>FAIL</v>
      </c>
      <c r="K9" t="str">
        <f t="shared" si="1"/>
        <v/>
      </c>
      <c r="L9" t="str">
        <f t="shared" si="2"/>
        <v/>
      </c>
    </row>
    <row r="10" spans="1:13" x14ac:dyDescent="0.25">
      <c r="A10" s="1">
        <v>9</v>
      </c>
      <c r="B10" t="s">
        <v>16</v>
      </c>
      <c r="C10" t="s">
        <v>8</v>
      </c>
      <c r="D10">
        <v>78</v>
      </c>
      <c r="E10">
        <v>76</v>
      </c>
      <c r="F10">
        <v>78</v>
      </c>
      <c r="G10">
        <v>36</v>
      </c>
      <c r="H10" s="4">
        <f t="shared" si="0"/>
        <v>268</v>
      </c>
      <c r="I10" s="4">
        <f>AVERAGE(D9:E10:F10)</f>
        <v>83.833333333333329</v>
      </c>
      <c r="J10" s="6" t="str">
        <f t="shared" si="3"/>
        <v>FAIL</v>
      </c>
      <c r="K10" t="str">
        <f t="shared" si="1"/>
        <v/>
      </c>
      <c r="L10" t="str">
        <f t="shared" si="2"/>
        <v/>
      </c>
    </row>
    <row r="11" spans="1:13" x14ac:dyDescent="0.25">
      <c r="A11" s="1">
        <v>10</v>
      </c>
      <c r="B11" t="s">
        <v>17</v>
      </c>
      <c r="C11" t="s">
        <v>8</v>
      </c>
      <c r="D11">
        <v>76</v>
      </c>
      <c r="E11">
        <v>88</v>
      </c>
      <c r="F11">
        <v>95</v>
      </c>
      <c r="G11">
        <v>76</v>
      </c>
      <c r="H11" s="4">
        <f t="shared" si="0"/>
        <v>335</v>
      </c>
      <c r="I11" s="4">
        <f>AVERAGE(D10:E11:F11)</f>
        <v>81.833333333333329</v>
      </c>
      <c r="J11" s="5" t="str">
        <f t="shared" si="3"/>
        <v>PASS</v>
      </c>
      <c r="K11" t="str">
        <f t="shared" si="1"/>
        <v>A</v>
      </c>
      <c r="L11">
        <f t="shared" si="2"/>
        <v>11</v>
      </c>
    </row>
    <row r="12" spans="1:13" x14ac:dyDescent="0.25">
      <c r="A12" s="1">
        <v>11</v>
      </c>
      <c r="B12" t="s">
        <v>18</v>
      </c>
      <c r="C12" t="s">
        <v>8</v>
      </c>
      <c r="D12">
        <v>88</v>
      </c>
      <c r="E12">
        <v>97</v>
      </c>
      <c r="F12">
        <v>64</v>
      </c>
      <c r="G12">
        <v>56</v>
      </c>
      <c r="H12" s="4">
        <f>SUM(D12:G12)</f>
        <v>305</v>
      </c>
      <c r="I12" s="4">
        <f>AVERAGE(D11:E12:F12)</f>
        <v>84.666666666666671</v>
      </c>
      <c r="J12" s="5" t="str">
        <f t="shared" si="3"/>
        <v>PASS</v>
      </c>
      <c r="K12" t="str">
        <f t="shared" si="1"/>
        <v>A</v>
      </c>
      <c r="L12">
        <f t="shared" si="2"/>
        <v>7</v>
      </c>
    </row>
    <row r="13" spans="1:13" x14ac:dyDescent="0.25">
      <c r="A13" s="1">
        <v>12</v>
      </c>
      <c r="B13" t="s">
        <v>19</v>
      </c>
      <c r="C13" t="s">
        <v>8</v>
      </c>
      <c r="D13">
        <v>99</v>
      </c>
      <c r="E13">
        <v>82</v>
      </c>
      <c r="F13">
        <v>77</v>
      </c>
      <c r="G13">
        <v>87</v>
      </c>
      <c r="H13" s="4">
        <f t="shared" si="0"/>
        <v>345</v>
      </c>
      <c r="I13" s="4">
        <f>AVERAGE(D12:E13:F13)</f>
        <v>84.5</v>
      </c>
      <c r="J13" s="5" t="str">
        <f t="shared" si="3"/>
        <v>PASS</v>
      </c>
      <c r="K13" t="str">
        <f t="shared" si="1"/>
        <v>A</v>
      </c>
      <c r="L13">
        <f t="shared" si="2"/>
        <v>8</v>
      </c>
    </row>
    <row r="14" spans="1:13" x14ac:dyDescent="0.25">
      <c r="A14" s="1">
        <v>13</v>
      </c>
      <c r="B14" t="s">
        <v>20</v>
      </c>
      <c r="C14" t="s">
        <v>28</v>
      </c>
      <c r="D14">
        <v>88</v>
      </c>
      <c r="E14">
        <v>88</v>
      </c>
      <c r="F14">
        <v>87</v>
      </c>
      <c r="G14">
        <v>53</v>
      </c>
      <c r="H14" s="4">
        <f t="shared" si="0"/>
        <v>316</v>
      </c>
      <c r="I14" s="4">
        <f>AVERAGE(D13:E14:F14)</f>
        <v>86.833333333333329</v>
      </c>
      <c r="J14" s="5" t="str">
        <f t="shared" si="3"/>
        <v>PASS</v>
      </c>
      <c r="K14" t="str">
        <f t="shared" si="1"/>
        <v>A</v>
      </c>
      <c r="L14">
        <f t="shared" si="2"/>
        <v>5</v>
      </c>
    </row>
    <row r="15" spans="1:13" x14ac:dyDescent="0.25">
      <c r="A15" s="1">
        <v>14</v>
      </c>
      <c r="B15" t="s">
        <v>21</v>
      </c>
      <c r="C15" t="s">
        <v>28</v>
      </c>
      <c r="D15">
        <v>43</v>
      </c>
      <c r="E15">
        <v>85</v>
      </c>
      <c r="F15">
        <v>65</v>
      </c>
      <c r="G15">
        <v>89</v>
      </c>
      <c r="H15" s="4">
        <f t="shared" si="0"/>
        <v>282</v>
      </c>
      <c r="I15" s="4">
        <f>AVERAGE(D14:E15:F15)</f>
        <v>76</v>
      </c>
      <c r="J15" s="6" t="str">
        <f t="shared" si="3"/>
        <v>FAIL</v>
      </c>
      <c r="K15" t="str">
        <f t="shared" si="1"/>
        <v/>
      </c>
      <c r="L15" t="str">
        <f t="shared" si="2"/>
        <v/>
      </c>
      <c r="M15" t="s">
        <v>34</v>
      </c>
    </row>
    <row r="16" spans="1:13" x14ac:dyDescent="0.25">
      <c r="A16" s="1">
        <v>15</v>
      </c>
      <c r="B16" t="s">
        <v>22</v>
      </c>
      <c r="C16" t="s">
        <v>28</v>
      </c>
      <c r="D16">
        <v>95</v>
      </c>
      <c r="E16">
        <v>95</v>
      </c>
      <c r="F16">
        <v>45</v>
      </c>
      <c r="G16">
        <v>76</v>
      </c>
      <c r="H16" s="4">
        <f t="shared" si="0"/>
        <v>311</v>
      </c>
      <c r="I16" s="4">
        <f>AVERAGE(D15:E16:F16)</f>
        <v>71.333333333333329</v>
      </c>
      <c r="J16" s="6" t="str">
        <f t="shared" si="3"/>
        <v>FAIL</v>
      </c>
      <c r="K16" t="str">
        <f t="shared" si="1"/>
        <v/>
      </c>
      <c r="L16" t="str">
        <f t="shared" si="2"/>
        <v/>
      </c>
    </row>
    <row r="17" spans="1:12" x14ac:dyDescent="0.25">
      <c r="A17" s="1">
        <v>16</v>
      </c>
      <c r="B17" t="s">
        <v>23</v>
      </c>
      <c r="C17" t="s">
        <v>28</v>
      </c>
      <c r="D17">
        <v>77</v>
      </c>
      <c r="E17">
        <v>84</v>
      </c>
      <c r="F17">
        <v>98</v>
      </c>
      <c r="G17">
        <v>68</v>
      </c>
      <c r="H17" s="4">
        <f t="shared" si="0"/>
        <v>327</v>
      </c>
      <c r="I17" s="4">
        <f>AVERAGE(D16:E17:F17)</f>
        <v>82.333333333333329</v>
      </c>
      <c r="J17" s="5" t="str">
        <f t="shared" si="3"/>
        <v>PASS</v>
      </c>
      <c r="K17" t="str">
        <f t="shared" si="1"/>
        <v>A</v>
      </c>
      <c r="L17">
        <f t="shared" si="2"/>
        <v>10</v>
      </c>
    </row>
    <row r="18" spans="1:12" x14ac:dyDescent="0.25">
      <c r="A18" s="1">
        <v>17</v>
      </c>
      <c r="B18" t="s">
        <v>24</v>
      </c>
      <c r="C18" t="s">
        <v>8</v>
      </c>
      <c r="D18">
        <v>23</v>
      </c>
      <c r="E18">
        <v>44</v>
      </c>
      <c r="F18">
        <v>22</v>
      </c>
      <c r="G18">
        <v>45</v>
      </c>
      <c r="H18" s="4">
        <f t="shared" si="0"/>
        <v>134</v>
      </c>
      <c r="I18" s="4">
        <f>AVERAGE(D17:E18:F18)</f>
        <v>58</v>
      </c>
      <c r="J18" s="6" t="str">
        <f t="shared" si="3"/>
        <v>FAIL</v>
      </c>
      <c r="K18" t="str">
        <f t="shared" si="1"/>
        <v/>
      </c>
      <c r="L18" t="str">
        <f t="shared" si="2"/>
        <v/>
      </c>
    </row>
    <row r="19" spans="1:12" x14ac:dyDescent="0.25">
      <c r="A19" s="1">
        <v>18</v>
      </c>
      <c r="B19" t="s">
        <v>25</v>
      </c>
      <c r="C19" t="s">
        <v>8</v>
      </c>
      <c r="D19">
        <v>64</v>
      </c>
      <c r="E19">
        <v>66</v>
      </c>
      <c r="F19">
        <v>55</v>
      </c>
      <c r="G19">
        <v>67</v>
      </c>
      <c r="H19" s="4">
        <f t="shared" si="0"/>
        <v>252</v>
      </c>
      <c r="I19" s="4">
        <f>AVERAGE(D18:E19:F19)</f>
        <v>45.666666666666664</v>
      </c>
      <c r="J19" s="6" t="str">
        <f t="shared" si="3"/>
        <v>PASS</v>
      </c>
      <c r="K19" t="str">
        <f t="shared" si="1"/>
        <v>C+</v>
      </c>
      <c r="L19">
        <f t="shared" si="2"/>
        <v>20</v>
      </c>
    </row>
    <row r="20" spans="1:12" x14ac:dyDescent="0.25">
      <c r="A20" s="1">
        <v>19</v>
      </c>
      <c r="B20" t="s">
        <v>26</v>
      </c>
      <c r="C20" t="s">
        <v>28</v>
      </c>
      <c r="D20">
        <v>67</v>
      </c>
      <c r="E20">
        <v>78</v>
      </c>
      <c r="F20">
        <v>67</v>
      </c>
      <c r="G20">
        <v>87</v>
      </c>
      <c r="H20" s="4">
        <f t="shared" si="0"/>
        <v>299</v>
      </c>
      <c r="I20" s="4">
        <f>AVERAGE(D19:E20:F20)</f>
        <v>66.166666666666671</v>
      </c>
      <c r="J20" s="5" t="str">
        <f t="shared" si="3"/>
        <v>PASS</v>
      </c>
      <c r="K20" t="str">
        <f t="shared" si="1"/>
        <v>B</v>
      </c>
      <c r="L20">
        <f t="shared" si="2"/>
        <v>18</v>
      </c>
    </row>
    <row r="21" spans="1:12" x14ac:dyDescent="0.25">
      <c r="A21" s="1">
        <v>20</v>
      </c>
      <c r="B21" t="s">
        <v>27</v>
      </c>
      <c r="C21" t="s">
        <v>28</v>
      </c>
      <c r="D21">
        <v>83</v>
      </c>
      <c r="E21">
        <v>67</v>
      </c>
      <c r="F21">
        <v>90</v>
      </c>
      <c r="G21">
        <v>97</v>
      </c>
      <c r="H21" s="4">
        <f t="shared" si="0"/>
        <v>337</v>
      </c>
      <c r="I21" s="4">
        <f>AVERAGE(D20:E21:F21)</f>
        <v>75.333333333333329</v>
      </c>
      <c r="J21" s="5" t="str">
        <f t="shared" si="3"/>
        <v>PASS</v>
      </c>
      <c r="K21" t="str">
        <f t="shared" si="1"/>
        <v>B+</v>
      </c>
      <c r="L21">
        <f t="shared" si="2"/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zoomScaleNormal="100" workbookViewId="0">
      <selection activeCell="E1" sqref="E1"/>
    </sheetView>
  </sheetViews>
  <sheetFormatPr defaultRowHeight="15" x14ac:dyDescent="0.25"/>
  <cols>
    <col min="1" max="1" width="9.140625" customWidth="1"/>
    <col min="2" max="2" width="11.7109375" customWidth="1"/>
    <col min="3" max="3" width="11.42578125" customWidth="1"/>
  </cols>
  <sheetData>
    <row r="1" spans="1:4" x14ac:dyDescent="0.25">
      <c r="A1" t="s">
        <v>0</v>
      </c>
      <c r="B1" t="s">
        <v>1</v>
      </c>
      <c r="C1" t="s">
        <v>35</v>
      </c>
      <c r="D1" t="s">
        <v>31</v>
      </c>
    </row>
    <row r="2" spans="1:4" x14ac:dyDescent="0.25">
      <c r="A2">
        <v>1</v>
      </c>
      <c r="B2" t="str">
        <f>VLOOKUP(A2, Sheet1!A2:L21,2,FALSE)</f>
        <v>Aman</v>
      </c>
      <c r="C2">
        <f>VLOOKUP(A2, Sheet1!A2:L21,8,FALSE)</f>
        <v>360</v>
      </c>
      <c r="D2" t="str">
        <f>VLOOKUP(A2, Sheet1!A2:L21,10,FALSE)</f>
        <v>PASS</v>
      </c>
    </row>
    <row r="3" spans="1:4" x14ac:dyDescent="0.25">
      <c r="A3">
        <v>2</v>
      </c>
      <c r="B3" t="str">
        <f>VLOOKUP(A3, Sheet1!A3:L22,2,FALSE)</f>
        <v>Sheela</v>
      </c>
      <c r="C3">
        <f>VLOOKUP(A3, Sheet1!A3:L22,8,FALSE)</f>
        <v>354</v>
      </c>
      <c r="D3" t="str">
        <f>VLOOKUP(A3, Sheet1!A3:L22,10,FALSE)</f>
        <v>PASS</v>
      </c>
    </row>
    <row r="4" spans="1:4" x14ac:dyDescent="0.25">
      <c r="A4">
        <v>3</v>
      </c>
      <c r="B4" t="str">
        <f>VLOOKUP(A4, Sheet1!A4:L23,2,FALSE)</f>
        <v>Nirmala</v>
      </c>
      <c r="C4">
        <f>VLOOKUP(A4, Sheet1!A4:L23,8,FALSE)</f>
        <v>334</v>
      </c>
      <c r="D4" t="str">
        <f>VLOOKUP(A4, Sheet1!A4:L23,10,FALSE)</f>
        <v>PASS</v>
      </c>
    </row>
    <row r="5" spans="1:4" x14ac:dyDescent="0.25">
      <c r="A5">
        <v>4</v>
      </c>
      <c r="B5" t="str">
        <f>VLOOKUP(A5, Sheet1!A5:L24,2,FALSE)</f>
        <v>Shrijit</v>
      </c>
      <c r="C5">
        <f>VLOOKUP(A5, Sheet1!A5:L24,8,FALSE)</f>
        <v>362</v>
      </c>
      <c r="D5" t="str">
        <f>VLOOKUP(A5, Sheet1!A5:L24,10,FALSE)</f>
        <v>PASS</v>
      </c>
    </row>
    <row r="6" spans="1:4" x14ac:dyDescent="0.25">
      <c r="A6">
        <v>5</v>
      </c>
      <c r="B6" t="str">
        <f>VLOOKUP(A6, Sheet1!A6:L25,2,FALSE)</f>
        <v>Ayaan</v>
      </c>
      <c r="C6">
        <f>VLOOKUP(A6, Sheet1!A6:L25,8,FALSE)</f>
        <v>312</v>
      </c>
      <c r="D6" t="str">
        <f>VLOOKUP(A6, Sheet1!A6:L25,10,FALSE)</f>
        <v>PASS</v>
      </c>
    </row>
    <row r="7" spans="1:4" x14ac:dyDescent="0.25">
      <c r="A7">
        <v>6</v>
      </c>
      <c r="B7" t="str">
        <f>VLOOKUP(A7, Sheet1!A7:L26,2,FALSE)</f>
        <v>Shaurya</v>
      </c>
      <c r="C7">
        <f>VLOOKUP(A7, Sheet1!A7:L26,8,FALSE)</f>
        <v>330</v>
      </c>
      <c r="D7" t="str">
        <f>VLOOKUP(A7, Sheet1!A7:L26,10,FALSE)</f>
        <v>PASS</v>
      </c>
    </row>
    <row r="8" spans="1:4" x14ac:dyDescent="0.25">
      <c r="A8">
        <v>7</v>
      </c>
      <c r="B8" t="str">
        <f>VLOOKUP(A8, Sheet1!A8:L27,2,FALSE)</f>
        <v>Soumya</v>
      </c>
      <c r="C8">
        <f>VLOOKUP(A8, Sheet1!A8:L27,8,FALSE)</f>
        <v>287</v>
      </c>
      <c r="D8" t="str">
        <f>VLOOKUP(A8, Sheet1!A8:L27,10,FALSE)</f>
        <v>FAIL</v>
      </c>
    </row>
    <row r="9" spans="1:4" x14ac:dyDescent="0.25">
      <c r="A9">
        <v>8</v>
      </c>
      <c r="B9" t="str">
        <f>VLOOKUP(A9, Sheet1!A9:L28,2,FALSE)</f>
        <v>Atharva</v>
      </c>
      <c r="C9">
        <f>VLOOKUP(A9, Sheet1!A9:L28,8,FALSE)</f>
        <v>316</v>
      </c>
      <c r="D9" t="str">
        <f>VLOOKUP(A9, Sheet1!A9:L28,10,FALSE)</f>
        <v>FAIL</v>
      </c>
    </row>
    <row r="10" spans="1:4" x14ac:dyDescent="0.25">
      <c r="A10">
        <v>9</v>
      </c>
      <c r="B10" t="str">
        <f>VLOOKUP(A10, Sheet1!A10:L29,2,FALSE)</f>
        <v>Shree</v>
      </c>
      <c r="C10">
        <f>VLOOKUP(A10, Sheet1!A10:L29,8,FALSE)</f>
        <v>268</v>
      </c>
      <c r="D10" t="str">
        <f>VLOOKUP(A10, Sheet1!A10:L29,10,FALSE)</f>
        <v>FAIL</v>
      </c>
    </row>
    <row r="11" spans="1:4" x14ac:dyDescent="0.25">
      <c r="A11">
        <v>10</v>
      </c>
      <c r="B11" t="str">
        <f>VLOOKUP(A11, Sheet1!A11:L30,2,FALSE)</f>
        <v>Om</v>
      </c>
      <c r="C11">
        <f>VLOOKUP(A11, Sheet1!A11:L30,8,FALSE)</f>
        <v>335</v>
      </c>
      <c r="D11" t="str">
        <f>VLOOKUP(A11, Sheet1!A11:L30,10,FALSE)</f>
        <v>PASS</v>
      </c>
    </row>
    <row r="12" spans="1:4" x14ac:dyDescent="0.25">
      <c r="A12">
        <v>11</v>
      </c>
      <c r="B12" t="str">
        <f>VLOOKUP(A12, Sheet1!A12:L31,2,FALSE)</f>
        <v>Yuvraj</v>
      </c>
      <c r="C12">
        <f>VLOOKUP(A12, Sheet1!A12:L31,8,FALSE)</f>
        <v>305</v>
      </c>
      <c r="D12" t="str">
        <f>VLOOKUP(A12, Sheet1!A12:L31,10,FALSE)</f>
        <v>PASS</v>
      </c>
    </row>
    <row r="13" spans="1:4" x14ac:dyDescent="0.25">
      <c r="A13">
        <v>12</v>
      </c>
      <c r="B13" t="str">
        <f>VLOOKUP(A13, Sheet1!A13:L32,2,FALSE)</f>
        <v>Yash</v>
      </c>
      <c r="C13">
        <f>VLOOKUP(A13, Sheet1!A13:L32,8,FALSE)</f>
        <v>345</v>
      </c>
      <c r="D13" t="str">
        <f>VLOOKUP(A13, Sheet1!A13:L32,10,FALSE)</f>
        <v>PASS</v>
      </c>
    </row>
    <row r="14" spans="1:4" x14ac:dyDescent="0.25">
      <c r="A14">
        <v>13</v>
      </c>
      <c r="B14" t="str">
        <f>VLOOKUP(A14, Sheet1!A14:L33,2,FALSE)</f>
        <v>Ayushi</v>
      </c>
      <c r="C14">
        <f>VLOOKUP(A14, Sheet1!A14:L33,8,FALSE)</f>
        <v>316</v>
      </c>
      <c r="D14" t="str">
        <f>VLOOKUP(A14, Sheet1!A14:L33,10,FALSE)</f>
        <v>PASS</v>
      </c>
    </row>
    <row r="15" spans="1:4" x14ac:dyDescent="0.25">
      <c r="A15">
        <v>14</v>
      </c>
      <c r="B15" t="str">
        <f>VLOOKUP(A15, Sheet1!A15:L34,2,FALSE)</f>
        <v>Jiya</v>
      </c>
      <c r="C15">
        <f>VLOOKUP(A15, Sheet1!A15:L34,8,FALSE)</f>
        <v>282</v>
      </c>
      <c r="D15" t="str">
        <f>VLOOKUP(A15, Sheet1!A15:L34,10,FALSE)</f>
        <v>FAIL</v>
      </c>
    </row>
    <row r="16" spans="1:4" x14ac:dyDescent="0.25">
      <c r="A16">
        <v>15</v>
      </c>
      <c r="B16" t="str">
        <f>VLOOKUP(A16, Sheet1!A16:L35,2,FALSE)</f>
        <v>Anushree</v>
      </c>
      <c r="C16">
        <f>VLOOKUP(A16, Sheet1!A16:L35,8,FALSE)</f>
        <v>311</v>
      </c>
      <c r="D16" t="str">
        <f>VLOOKUP(A16, Sheet1!A16:L35,10,FALSE)</f>
        <v>FAIL</v>
      </c>
    </row>
    <row r="17" spans="1:4" x14ac:dyDescent="0.25">
      <c r="A17">
        <v>16</v>
      </c>
      <c r="B17" t="str">
        <f>VLOOKUP(A17, Sheet1!A17:L36,2,FALSE)</f>
        <v>Sakshi</v>
      </c>
      <c r="C17">
        <f>VLOOKUP(A17, Sheet1!A17:L36,8,FALSE)</f>
        <v>327</v>
      </c>
      <c r="D17" t="str">
        <f>VLOOKUP(A17, Sheet1!A17:L36,10,FALSE)</f>
        <v>PASS</v>
      </c>
    </row>
    <row r="18" spans="1:4" x14ac:dyDescent="0.25">
      <c r="A18">
        <v>17</v>
      </c>
      <c r="B18" t="str">
        <f>VLOOKUP(A18, Sheet1!A18:L37,2,FALSE)</f>
        <v>Amanmeet</v>
      </c>
      <c r="C18">
        <f>VLOOKUP(A18, Sheet1!A18:L37,8,FALSE)</f>
        <v>134</v>
      </c>
      <c r="D18" t="str">
        <f>VLOOKUP(A18, Sheet1!A18:L37,10,FALSE)</f>
        <v>FAIL</v>
      </c>
    </row>
    <row r="19" spans="1:4" x14ac:dyDescent="0.25">
      <c r="A19">
        <v>18</v>
      </c>
      <c r="B19" t="str">
        <f>VLOOKUP(A19, Sheet1!A19:L38,2,FALSE)</f>
        <v>Raj</v>
      </c>
      <c r="C19">
        <f>VLOOKUP(A19, Sheet1!A19:L38,8,FALSE)</f>
        <v>252</v>
      </c>
      <c r="D19" t="str">
        <f>VLOOKUP(A19, Sheet1!A19:L38,10,FALSE)</f>
        <v>PASS</v>
      </c>
    </row>
    <row r="20" spans="1:4" x14ac:dyDescent="0.25">
      <c r="A20">
        <v>19</v>
      </c>
      <c r="B20" t="str">
        <f>VLOOKUP(A20, Sheet1!A20:L39,2,FALSE)</f>
        <v>Aliza</v>
      </c>
      <c r="C20">
        <f>VLOOKUP(A20, Sheet1!A20:L39,8,FALSE)</f>
        <v>299</v>
      </c>
      <c r="D20" t="str">
        <f>VLOOKUP(A20, Sheet1!A20:L39,10,FALSE)</f>
        <v>PASS</v>
      </c>
    </row>
    <row r="21" spans="1:4" x14ac:dyDescent="0.25">
      <c r="A21">
        <v>20</v>
      </c>
      <c r="B21" t="str">
        <f>VLOOKUP(A21, Sheet1!A21:L40,2,FALSE)</f>
        <v>Avika</v>
      </c>
      <c r="C21">
        <f>VLOOKUP(A21, Sheet1!A21:L40,8,FALSE)</f>
        <v>337</v>
      </c>
      <c r="D21" t="str">
        <f>VLOOKUP(A21, Sheet1!A21:L40,10,FALSE)</f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2026-09-10T08:50:05Z</dcterms:created>
  <dcterms:modified xsi:type="dcterms:W3CDTF">2026-09-24T09:13:18Z</dcterms:modified>
</cp:coreProperties>
</file>